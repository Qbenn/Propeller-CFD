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RS\raport\"/>
    </mc:Choice>
  </mc:AlternateContent>
  <xr:revisionPtr revIDLastSave="0" documentId="13_ncr:1_{B097A012-2CE1-4186-8CD8-5DDFC39D0320}" xr6:coauthVersionLast="47" xr6:coauthVersionMax="47" xr10:uidLastSave="{00000000-0000-0000-0000-000000000000}"/>
  <bookViews>
    <workbookView xWindow="-120" yWindow="-120" windowWidth="29040" windowHeight="15840" xr2:uid="{6EB45736-A26C-45BF-B396-04EF671B3F5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8" i="1"/>
  <c r="H8" i="1"/>
  <c r="I8" i="1" s="1"/>
  <c r="H14" i="1"/>
  <c r="H13" i="1"/>
  <c r="H12" i="1"/>
  <c r="I12" i="1" s="1"/>
  <c r="H11" i="1"/>
  <c r="I11" i="1" s="1"/>
  <c r="H10" i="1"/>
  <c r="I10" i="1" s="1"/>
  <c r="H9" i="1"/>
  <c r="I9" i="1" s="1"/>
</calcChain>
</file>

<file path=xl/sharedStrings.xml><?xml version="1.0" encoding="utf-8"?>
<sst xmlns="http://schemas.openxmlformats.org/spreadsheetml/2006/main" count="7" uniqueCount="7">
  <si>
    <t>omega</t>
  </si>
  <si>
    <t>J</t>
  </si>
  <si>
    <t>V[m/s]</t>
  </si>
  <si>
    <t>Siła [N]</t>
  </si>
  <si>
    <t>Moment [Nm]</t>
  </si>
  <si>
    <t>Moc[W]</t>
  </si>
  <si>
    <t>sprawnośc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</si>
</sst>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sila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Arkusz1!$E$8:$E$14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Arkusz1!$F$8:$F$14</c:f>
              <c:numCache>
                <c:formatCode>General</c:formatCode>
                <c:ptCount val="7"/>
                <c:pt idx="0">
                  <c:v>9.5399999999999991</c:v>
                </c:pt>
                <c:pt idx="1">
                  <c:v>7.24</c:v>
                </c:pt>
                <c:pt idx="2">
                  <c:v>6.3692343999999999</c:v>
                </c:pt>
                <c:pt idx="3">
                  <c:v>4.42</c:v>
                </c:pt>
                <c:pt idx="4">
                  <c:v>1.37</c:v>
                </c:pt>
                <c:pt idx="5">
                  <c:v>-2.0005741000000001</c:v>
                </c:pt>
                <c:pt idx="6">
                  <c:v>-4.6399999999999997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1B-420D-900E-DE969B38C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68784"/>
        <c:axId val="132689279"/>
      </c:scatterChart>
      <c:valAx>
        <c:axId val="203736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2689279"/>
        <c:crosses val="autoZero"/>
        <c:crossBetween val="midCat"/>
      </c:valAx>
      <c:valAx>
        <c:axId val="132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736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Arkusz1!$E$8:$E$14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Arkusz1!$G$8:$G$14</c:f>
              <c:numCache>
                <c:formatCode>General</c:formatCode>
                <c:ptCount val="7"/>
                <c:pt idx="0">
                  <c:v>0.28999999999999998</c:v>
                </c:pt>
                <c:pt idx="1">
                  <c:v>0.32</c:v>
                </c:pt>
                <c:pt idx="2">
                  <c:v>0.39987432000000001</c:v>
                </c:pt>
                <c:pt idx="3">
                  <c:v>0.33</c:v>
                </c:pt>
                <c:pt idx="4">
                  <c:v>0.21</c:v>
                </c:pt>
                <c:pt idx="5">
                  <c:v>-1.6656734999999999E-2</c:v>
                </c:pt>
                <c:pt idx="6">
                  <c:v>-9.9424438000000004E-2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53-4B36-973D-CA8D99E45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04159"/>
        <c:axId val="132685919"/>
      </c:scatterChart>
      <c:valAx>
        <c:axId val="1366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2685919"/>
        <c:crosses val="autoZero"/>
        <c:crossBetween val="midCat"/>
      </c:valAx>
      <c:valAx>
        <c:axId val="13268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660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Arkusz1!$E$8:$E$14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Arkusz1!$H$8:$H$14</c:f>
              <c:numCache>
                <c:formatCode>General</c:formatCode>
                <c:ptCount val="7"/>
                <c:pt idx="0">
                  <c:v>182.44479999999999</c:v>
                </c:pt>
                <c:pt idx="1">
                  <c:v>201.3184</c:v>
                </c:pt>
                <c:pt idx="2">
                  <c:v>251.56893219840001</c:v>
                </c:pt>
                <c:pt idx="3">
                  <c:v>207.6096</c:v>
                </c:pt>
                <c:pt idx="4">
                  <c:v>132.11519999999999</c:v>
                </c:pt>
                <c:pt idx="5">
                  <c:v>10.479085123199999</c:v>
                </c:pt>
                <c:pt idx="6">
                  <c:v>62.549902434560003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5-4FF3-BE8C-EF69C22A7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95567"/>
        <c:axId val="132681599"/>
      </c:scatterChart>
      <c:valAx>
        <c:axId val="13819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2681599"/>
        <c:crosses val="autoZero"/>
        <c:crossBetween val="midCat"/>
      </c:valAx>
      <c:valAx>
        <c:axId val="1326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19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9486111111111112"/>
          <c:w val="0.88055796150481191"/>
          <c:h val="0.72125801983085447"/>
        </c:manualLayout>
      </c:layout>
      <c:scatterChart>
        <c:scatterStyle val="smoothMarker"/>
        <c:varyColors val="0"/>
        <c:ser>
          <c:idx val="0"/>
          <c:order val="0"/>
          <c:tx>
            <c:v>sprawnosc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Arkusz1!$E$8:$E$14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Arkusz1!$I$8:$I$14</c:f>
              <c:numCache>
                <c:formatCode>General</c:formatCode>
                <c:ptCount val="7"/>
                <c:pt idx="0">
                  <c:v>0</c:v>
                </c:pt>
                <c:pt idx="1">
                  <c:v>35.962932349949142</c:v>
                </c:pt>
                <c:pt idx="2">
                  <c:v>50.636096789383345</c:v>
                </c:pt>
                <c:pt idx="3">
                  <c:v>63.869878849532967</c:v>
                </c:pt>
                <c:pt idx="4">
                  <c:v>41.47895170275639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11-47DC-9928-29AB16C14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62815"/>
        <c:axId val="132699839"/>
      </c:scatterChart>
      <c:valAx>
        <c:axId val="14326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2699839"/>
        <c:crosses val="autoZero"/>
        <c:crossBetween val="midCat"/>
      </c:valAx>
      <c:valAx>
        <c:axId val="13269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326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409574</xdr:colOff>
      <xdr:row>1</xdr:row>
      <xdr:rowOff>185736</xdr:rowOff>
    </xdr:from>
    <xdr:to>
      <xdr:col>20</xdr:col>
      <xdr:colOff>114299</xdr:colOff>
      <xdr:row>17</xdr:row>
      <xdr:rowOff>76199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A306153-CDA8-C013-EF1B-B7006B6D8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533399</xdr:colOff>
      <xdr:row>17</xdr:row>
      <xdr:rowOff>80962</xdr:rowOff>
    </xdr:from>
    <xdr:to>
      <xdr:col>20</xdr:col>
      <xdr:colOff>66674</xdr:colOff>
      <xdr:row>31</xdr:row>
      <xdr:rowOff>157162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74EFC4D-24FE-BAFE-52AB-B94E2F938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381000</xdr:colOff>
      <xdr:row>2</xdr:row>
      <xdr:rowOff>100012</xdr:rowOff>
    </xdr:from>
    <xdr:to>
      <xdr:col>27</xdr:col>
      <xdr:colOff>76200</xdr:colOff>
      <xdr:row>16</xdr:row>
      <xdr:rowOff>176212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0690E4D-9D7E-793F-20FB-544FA6E53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571500</xdr:colOff>
      <xdr:row>17</xdr:row>
      <xdr:rowOff>138112</xdr:rowOff>
    </xdr:from>
    <xdr:to>
      <xdr:col>26</xdr:col>
      <xdr:colOff>266700</xdr:colOff>
      <xdr:row>32</xdr:row>
      <xdr:rowOff>23812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CD8F5E09-6176-3344-FB5D-59C42A205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CB4B-2D86-4831-80FE-52E06E204D8F}">
  <dimension ref="D3:J14"/>
  <sheetViews>
    <sheetView tabSelected="1" workbookViewId="0">
      <selection activeCell="G22" sqref="G22"/>
    </sheetView>
  </sheetViews>
  <sheetFormatPr defaultRowHeight="15" x14ac:dyDescent="0.25"/>
  <cols>
    <col min="7" max="7" width="15.28515625" customWidth="1"/>
  </cols>
  <sheetData>
    <row r="3" spans="4:10" x14ac:dyDescent="0.25">
      <c r="D3" t="s">
        <v>0</v>
      </c>
      <c r="E3">
        <v>314.56</v>
      </c>
    </row>
    <row r="7" spans="4:10" x14ac:dyDescent="0.25"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1</v>
      </c>
    </row>
    <row r="8" spans="4:10" x14ac:dyDescent="0.25">
      <c r="E8">
        <v>0</v>
      </c>
      <c r="F8">
        <v>9.5399999999999991</v>
      </c>
      <c r="G8">
        <v>0.28999999999999998</v>
      </c>
      <c r="H8">
        <f>G8*$E$3*2</f>
        <v>182.44479999999999</v>
      </c>
      <c r="I8">
        <f>(F8*2*E8)/H8*100</f>
        <v>0</v>
      </c>
      <c r="J8">
        <f>E8/(47.65*0.5)</f>
        <v>0</v>
      </c>
    </row>
    <row r="9" spans="4:10" x14ac:dyDescent="0.25">
      <c r="E9">
        <v>5</v>
      </c>
      <c r="F9">
        <v>7.24</v>
      </c>
      <c r="G9">
        <v>0.32</v>
      </c>
      <c r="H9">
        <f>G9*$E$3*2</f>
        <v>201.3184</v>
      </c>
      <c r="I9">
        <f>(F9*2*E9)/H9*100</f>
        <v>35.962932349949142</v>
      </c>
      <c r="J9">
        <f t="shared" ref="J9:J14" si="0">E9/(47.65*0.5)</f>
        <v>0.20986358866736621</v>
      </c>
    </row>
    <row r="10" spans="4:10" x14ac:dyDescent="0.25">
      <c r="E10">
        <v>10</v>
      </c>
      <c r="F10">
        <v>6.3692343999999999</v>
      </c>
      <c r="G10">
        <v>0.39987432000000001</v>
      </c>
      <c r="H10">
        <f>G10*$E$3*2</f>
        <v>251.56893219840001</v>
      </c>
      <c r="I10">
        <f t="shared" ref="I10:I12" si="1">(F10*2*E10)/H10*100</f>
        <v>50.636096789383345</v>
      </c>
      <c r="J10">
        <f t="shared" si="0"/>
        <v>0.41972717733473242</v>
      </c>
    </row>
    <row r="11" spans="4:10" x14ac:dyDescent="0.25">
      <c r="E11">
        <v>15</v>
      </c>
      <c r="F11">
        <v>4.42</v>
      </c>
      <c r="G11">
        <v>0.33</v>
      </c>
      <c r="H11">
        <f>G11*$E$3*2</f>
        <v>207.6096</v>
      </c>
      <c r="I11">
        <f t="shared" si="1"/>
        <v>63.869878849532967</v>
      </c>
      <c r="J11">
        <f t="shared" si="0"/>
        <v>0.62959076600209862</v>
      </c>
    </row>
    <row r="12" spans="4:10" x14ac:dyDescent="0.25">
      <c r="E12">
        <v>20</v>
      </c>
      <c r="F12">
        <v>1.37</v>
      </c>
      <c r="G12">
        <v>0.21</v>
      </c>
      <c r="H12">
        <f>G12*$E$3*2</f>
        <v>132.11519999999999</v>
      </c>
      <c r="I12">
        <f t="shared" si="1"/>
        <v>41.47895170275639</v>
      </c>
      <c r="J12">
        <f t="shared" si="0"/>
        <v>0.83945435466946483</v>
      </c>
    </row>
    <row r="13" spans="4:10" x14ac:dyDescent="0.25">
      <c r="E13">
        <v>25</v>
      </c>
      <c r="F13">
        <v>-2.0005741000000001</v>
      </c>
      <c r="G13">
        <v>-1.6656734999999999E-2</v>
      </c>
      <c r="H13">
        <f>ABS(G13)*$E$3*2</f>
        <v>10.479085123199999</v>
      </c>
      <c r="I13">
        <v>0</v>
      </c>
      <c r="J13">
        <f t="shared" si="0"/>
        <v>1.0493179433368311</v>
      </c>
    </row>
    <row r="14" spans="4:10" x14ac:dyDescent="0.25">
      <c r="E14">
        <v>30</v>
      </c>
      <c r="F14">
        <v>-4.6399999999999997</v>
      </c>
      <c r="G14">
        <v>-9.9424438000000004E-2</v>
      </c>
      <c r="H14">
        <f>ABS(G14)*$E$3*2</f>
        <v>62.549902434560003</v>
      </c>
      <c r="I14">
        <v>0</v>
      </c>
      <c r="J14">
        <f t="shared" si="0"/>
        <v>1.2591815320041972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Piotrowski Jakub 5 (STUD)</dc:creator>
  <cp:lastModifiedBy>Piotrowski Jakub 5 (STUD)</cp:lastModifiedBy>
  <dcterms:created xsi:type="dcterms:W3CDTF">2026-08-13T18:36:23Z</dcterms:created>
  <dcterms:modified xsi:type="dcterms:W3CDTF">2026-08-17T13:26:38Z</dcterms:modified>
</cp:coreProperties>
</file>